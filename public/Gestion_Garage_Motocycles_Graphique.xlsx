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lients &amp; Véhicules" sheetId="2" state="visible" r:id="rId2"/>
    <sheet name="Stock &amp; Pièces" sheetId="3" state="visible" r:id="rId3"/>
    <sheet name="Répa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FCFA&quot;"/>
    <numFmt numFmtId="165" formatCode="yyyy-mm-dd"/>
    <numFmt numFmtId="166" formatCode="DD/MM/YYYY"/>
  </numFmts>
  <fonts count="11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0F2537"/>
      <sz val="11"/>
    </font>
    <font>
      <name val="Segoe UI"/>
      <b val="1"/>
      <color rgb="00475569"/>
      <sz val="9"/>
    </font>
    <font>
      <name val="Segoe UI"/>
      <b val="1"/>
      <color rgb="001E3A8A"/>
      <sz val="16"/>
    </font>
    <font>
      <name val="Segoe UI"/>
      <b val="1"/>
      <color rgb="00DC2626"/>
      <sz val="16"/>
    </font>
    <font>
      <name val="Segoe UI"/>
      <b val="1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2537"/>
        <bgColor rgb="000F2537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94A3B8"/>
      </top>
      <bottom style="double">
        <color rgb="000F172A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6" borderId="3" applyAlignment="1" pivotButton="0" quotePrefix="0" xfId="0">
      <alignment horizontal="center" vertical="center"/>
    </xf>
    <xf numFmtId="0" fontId="0" fillId="6" borderId="3" pivotButton="0" quotePrefix="0" xfId="0"/>
    <xf numFmtId="164" fontId="8" fillId="6" borderId="3" applyAlignment="1" pivotButton="0" quotePrefix="0" xfId="0">
      <alignment horizontal="center" vertical="center"/>
    </xf>
    <xf numFmtId="3" fontId="8" fillId="6" borderId="3" applyAlignment="1" pivotButton="0" quotePrefix="0" xfId="0">
      <alignment horizontal="center" vertical="center"/>
    </xf>
    <xf numFmtId="3" fontId="9" fillId="6" borderId="3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right" vertical="center"/>
    </xf>
    <xf numFmtId="166" fontId="4" fillId="3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Segoe UI"/>
        <b val="1"/>
        <color rgb="00991B1B"/>
      </font>
      <fill>
        <patternFill patternType="solid">
          <fgColor rgb="00FEE2E2"/>
          <bgColor rgb="00FEE2E2"/>
        </patternFill>
      </fill>
    </dxf>
    <dxf>
      <font>
        <name val="Segoe UI"/>
        <b val="1"/>
        <color rgb="00166534"/>
      </font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Évolution Mensuelle : CA Pièces vs Main d'œuvre (FCFA)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Bord'!C8</f>
            </strRef>
          </tx>
          <spPr>
            <a:ln>
              <a:prstDash val="solid"/>
            </a:ln>
          </spPr>
          <cat>
            <numRef>
              <f>'Tableau de Bord'!$A$9:$A$20</f>
            </numRef>
          </cat>
          <val>
            <numRef>
              <f>'Tableau de Bord'!$C$9:$C$20</f>
            </numRef>
          </val>
        </ser>
        <ser>
          <idx val="1"/>
          <order val="1"/>
          <tx>
            <strRef>
              <f>'Tableau de Bord'!D8</f>
            </strRef>
          </tx>
          <spPr>
            <a:ln>
              <a:prstDash val="solid"/>
            </a:ln>
          </spPr>
          <cat>
            <numRef>
              <f>'Tableau de Bord'!$A$9:$A$20</f>
            </numRef>
          </cat>
          <val>
            <numRef>
              <f>'Tableau de Bord'!$D$9:$D$20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 de l'Année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Montant HT (FCFA)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6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8" customWidth="1" min="3" max="3"/>
    <col width="20" customWidth="1" min="4" max="4"/>
    <col width="18" customWidth="1" min="5" max="5"/>
    <col width="16" customWidth="1" min="6" max="6"/>
    <col width="18" customWidth="1" min="7" max="7"/>
    <col width="6" customWidth="1" min="8" max="8"/>
    <col width="18" customWidth="1" min="9" max="9"/>
    <col width="18" customWidth="1" min="10" max="10"/>
  </cols>
  <sheetData>
    <row r="1">
      <c r="A1" s="1" t="inlineStr">
        <is>
          <t>TABLEAU DE BORD DE GESTION - GARAGE MOTOCYCLES</t>
        </is>
      </c>
    </row>
    <row r="2">
      <c r="A2" s="2" t="inlineStr">
        <is>
          <t>Indicateurs clés de performance (KPI), consolidation mensuelle du CA et suivi graphique.</t>
        </is>
      </c>
    </row>
    <row r="3"/>
    <row r="4" ht="20" customHeight="1">
      <c r="A4" s="3" t="inlineStr">
        <is>
          <t>CHIFFRE D'AFFAIRES TOTAL TTC</t>
        </is>
      </c>
      <c r="B4" s="4" t="n"/>
      <c r="C4" s="4" t="n"/>
      <c r="D4" s="3" t="inlineStr">
        <is>
          <t>TOTAL TAXES COLLECTÉES (TVA 18%)</t>
        </is>
      </c>
      <c r="E4" s="4" t="n"/>
      <c r="F4" s="4" t="n"/>
      <c r="G4" s="3" t="inlineStr">
        <is>
          <t>TOTAL DES RÉPARATIONS</t>
        </is>
      </c>
      <c r="H4" s="4" t="n"/>
      <c r="I4" s="3" t="inlineStr">
        <is>
          <t>PIÈCES EN ALERTE STOCK</t>
        </is>
      </c>
      <c r="J4" s="4" t="n"/>
    </row>
    <row r="5" ht="28" customHeight="1">
      <c r="A5" s="5">
        <f>SUM(Réparations!J5:J24)</f>
        <v/>
      </c>
      <c r="B5" s="4" t="n"/>
      <c r="C5" s="4" t="n"/>
      <c r="D5" s="5">
        <f>SUM(Réparations!I5:I24)</f>
        <v/>
      </c>
      <c r="E5" s="4" t="n"/>
      <c r="F5" s="4" t="n"/>
      <c r="G5" s="6">
        <f>COUNTA(Réparations!A5:A24)</f>
        <v/>
      </c>
      <c r="H5" s="4" t="n"/>
      <c r="I5" s="7">
        <f>COUNTIF('Stock &amp; Pièces'!H5:H19,"RÉAPPROVISIONNER")</f>
        <v/>
      </c>
      <c r="J5" s="4" t="n"/>
    </row>
    <row r="6"/>
    <row r="7">
      <c r="A7" s="8" t="inlineStr">
        <is>
          <t>ÉVOLUTION MENSUELLE DU CHIFFRE D'AFFAIRES (ANALYSE DÉTAILLÉE)</t>
        </is>
      </c>
    </row>
    <row r="8" ht="25" customHeight="1">
      <c r="A8" s="9" t="inlineStr">
        <is>
          <t>Mois</t>
        </is>
      </c>
      <c r="B8" s="9" t="inlineStr">
        <is>
          <t>N°</t>
        </is>
      </c>
      <c r="C8" s="9" t="inlineStr">
        <is>
          <t>CA Pièces HT</t>
        </is>
      </c>
      <c r="D8" s="9" t="inlineStr">
        <is>
          <t>CA Main d'œuvre HT</t>
        </is>
      </c>
      <c r="E8" s="9" t="inlineStr">
        <is>
          <t>CA Total HT</t>
        </is>
      </c>
      <c r="F8" s="9" t="inlineStr">
        <is>
          <t>TVA (18%)</t>
        </is>
      </c>
      <c r="G8" s="9" t="inlineStr">
        <is>
          <t>CA Total TTC</t>
        </is>
      </c>
    </row>
    <row r="9">
      <c r="A9" s="10" t="inlineStr">
        <is>
          <t>Janvier</t>
        </is>
      </c>
      <c r="B9" s="11" t="n">
        <v>1</v>
      </c>
      <c r="C9" s="12">
        <f>SUMIFS(Réparations!$F$5:$F$24, Réparations!$M$5:$M$24, B9)</f>
        <v/>
      </c>
      <c r="D9" s="12">
        <f>SUMIFS(Réparations!$G$5:$G$24, Réparations!$M$5:$M$24, B9)</f>
        <v/>
      </c>
      <c r="E9" s="13">
        <f>C9+D9</f>
        <v/>
      </c>
      <c r="F9" s="12">
        <f>E9*0.18</f>
        <v/>
      </c>
      <c r="G9" s="13">
        <f>E9+F9</f>
        <v/>
      </c>
    </row>
    <row r="10">
      <c r="A10" s="14" t="inlineStr">
        <is>
          <t>Février</t>
        </is>
      </c>
      <c r="B10" s="15" t="n">
        <v>2</v>
      </c>
      <c r="C10" s="16">
        <f>SUMIFS(Réparations!$F$5:$F$24, Réparations!$M$5:$M$24, B10)</f>
        <v/>
      </c>
      <c r="D10" s="16">
        <f>SUMIFS(Réparations!$G$5:$G$24, Réparations!$M$5:$M$24, B10)</f>
        <v/>
      </c>
      <c r="E10" s="17">
        <f>C10+D10</f>
        <v/>
      </c>
      <c r="F10" s="16">
        <f>E10*0.18</f>
        <v/>
      </c>
      <c r="G10" s="17">
        <f>E10+F10</f>
        <v/>
      </c>
    </row>
    <row r="11">
      <c r="A11" s="10" t="inlineStr">
        <is>
          <t>Mars</t>
        </is>
      </c>
      <c r="B11" s="11" t="n">
        <v>3</v>
      </c>
      <c r="C11" s="12">
        <f>SUMIFS(Réparations!$F$5:$F$24, Réparations!$M$5:$M$24, B11)</f>
        <v/>
      </c>
      <c r="D11" s="12">
        <f>SUMIFS(Réparations!$G$5:$G$24, Réparations!$M$5:$M$24, B11)</f>
        <v/>
      </c>
      <c r="E11" s="13">
        <f>C11+D11</f>
        <v/>
      </c>
      <c r="F11" s="12">
        <f>E11*0.18</f>
        <v/>
      </c>
      <c r="G11" s="13">
        <f>E11+F11</f>
        <v/>
      </c>
    </row>
    <row r="12">
      <c r="A12" s="14" t="inlineStr">
        <is>
          <t>Avril</t>
        </is>
      </c>
      <c r="B12" s="15" t="n">
        <v>4</v>
      </c>
      <c r="C12" s="16">
        <f>SUMIFS(Réparations!$F$5:$F$24, Réparations!$M$5:$M$24, B12)</f>
        <v/>
      </c>
      <c r="D12" s="16">
        <f>SUMIFS(Réparations!$G$5:$G$24, Réparations!$M$5:$M$24, B12)</f>
        <v/>
      </c>
      <c r="E12" s="17">
        <f>C12+D12</f>
        <v/>
      </c>
      <c r="F12" s="16">
        <f>E12*0.18</f>
        <v/>
      </c>
      <c r="G12" s="17">
        <f>E12+F12</f>
        <v/>
      </c>
    </row>
    <row r="13">
      <c r="A13" s="10" t="inlineStr">
        <is>
          <t>Mai</t>
        </is>
      </c>
      <c r="B13" s="11" t="n">
        <v>5</v>
      </c>
      <c r="C13" s="12">
        <f>SUMIFS(Réparations!$F$5:$F$24, Réparations!$M$5:$M$24, B13)</f>
        <v/>
      </c>
      <c r="D13" s="12">
        <f>SUMIFS(Réparations!$G$5:$G$24, Réparations!$M$5:$M$24, B13)</f>
        <v/>
      </c>
      <c r="E13" s="13">
        <f>C13+D13</f>
        <v/>
      </c>
      <c r="F13" s="12">
        <f>E13*0.18</f>
        <v/>
      </c>
      <c r="G13" s="13">
        <f>E13+F13</f>
        <v/>
      </c>
    </row>
    <row r="14">
      <c r="A14" s="14" t="inlineStr">
        <is>
          <t>Juin</t>
        </is>
      </c>
      <c r="B14" s="15" t="n">
        <v>6</v>
      </c>
      <c r="C14" s="16">
        <f>SUMIFS(Réparations!$F$5:$F$24, Réparations!$M$5:$M$24, B14)</f>
        <v/>
      </c>
      <c r="D14" s="16">
        <f>SUMIFS(Réparations!$G$5:$G$24, Réparations!$M$5:$M$24, B14)</f>
        <v/>
      </c>
      <c r="E14" s="17">
        <f>C14+D14</f>
        <v/>
      </c>
      <c r="F14" s="16">
        <f>E14*0.18</f>
        <v/>
      </c>
      <c r="G14" s="17">
        <f>E14+F14</f>
        <v/>
      </c>
    </row>
    <row r="15">
      <c r="A15" s="10" t="inlineStr">
        <is>
          <t>Juillet</t>
        </is>
      </c>
      <c r="B15" s="11" t="n">
        <v>7</v>
      </c>
      <c r="C15" s="12">
        <f>SUMIFS(Réparations!$F$5:$F$24, Réparations!$M$5:$M$24, B15)</f>
        <v/>
      </c>
      <c r="D15" s="12">
        <f>SUMIFS(Réparations!$G$5:$G$24, Réparations!$M$5:$M$24, B15)</f>
        <v/>
      </c>
      <c r="E15" s="13">
        <f>C15+D15</f>
        <v/>
      </c>
      <c r="F15" s="12">
        <f>E15*0.18</f>
        <v/>
      </c>
      <c r="G15" s="13">
        <f>E15+F15</f>
        <v/>
      </c>
    </row>
    <row r="16">
      <c r="A16" s="14" t="inlineStr">
        <is>
          <t>Août</t>
        </is>
      </c>
      <c r="B16" s="15" t="n">
        <v>8</v>
      </c>
      <c r="C16" s="16">
        <f>SUMIFS(Réparations!$F$5:$F$24, Réparations!$M$5:$M$24, B16)</f>
        <v/>
      </c>
      <c r="D16" s="16">
        <f>SUMIFS(Réparations!$G$5:$G$24, Réparations!$M$5:$M$24, B16)</f>
        <v/>
      </c>
      <c r="E16" s="17">
        <f>C16+D16</f>
        <v/>
      </c>
      <c r="F16" s="16">
        <f>E16*0.18</f>
        <v/>
      </c>
      <c r="G16" s="17">
        <f>E16+F16</f>
        <v/>
      </c>
    </row>
    <row r="17">
      <c r="A17" s="10" t="inlineStr">
        <is>
          <t>Septembre</t>
        </is>
      </c>
      <c r="B17" s="11" t="n">
        <v>9</v>
      </c>
      <c r="C17" s="12">
        <f>SUMIFS(Réparations!$F$5:$F$24, Réparations!$M$5:$M$24, B17)</f>
        <v/>
      </c>
      <c r="D17" s="12">
        <f>SUMIFS(Réparations!$G$5:$G$24, Réparations!$M$5:$M$24, B17)</f>
        <v/>
      </c>
      <c r="E17" s="13">
        <f>C17+D17</f>
        <v/>
      </c>
      <c r="F17" s="12">
        <f>E17*0.18</f>
        <v/>
      </c>
      <c r="G17" s="13">
        <f>E17+F17</f>
        <v/>
      </c>
    </row>
    <row r="18">
      <c r="A18" s="14" t="inlineStr">
        <is>
          <t>Octobre</t>
        </is>
      </c>
      <c r="B18" s="15" t="n">
        <v>10</v>
      </c>
      <c r="C18" s="16">
        <f>SUMIFS(Réparations!$F$5:$F$24, Réparations!$M$5:$M$24, B18)</f>
        <v/>
      </c>
      <c r="D18" s="16">
        <f>SUMIFS(Réparations!$G$5:$G$24, Réparations!$M$5:$M$24, B18)</f>
        <v/>
      </c>
      <c r="E18" s="17">
        <f>C18+D18</f>
        <v/>
      </c>
      <c r="F18" s="16">
        <f>E18*0.18</f>
        <v/>
      </c>
      <c r="G18" s="17">
        <f>E18+F18</f>
        <v/>
      </c>
    </row>
    <row r="19">
      <c r="A19" s="10" t="inlineStr">
        <is>
          <t>Novembre</t>
        </is>
      </c>
      <c r="B19" s="11" t="n">
        <v>11</v>
      </c>
      <c r="C19" s="12">
        <f>SUMIFS(Réparations!$F$5:$F$24, Réparations!$M$5:$M$24, B19)</f>
        <v/>
      </c>
      <c r="D19" s="12">
        <f>SUMIFS(Réparations!$G$5:$G$24, Réparations!$M$5:$M$24, B19)</f>
        <v/>
      </c>
      <c r="E19" s="13">
        <f>C19+D19</f>
        <v/>
      </c>
      <c r="F19" s="12">
        <f>E19*0.18</f>
        <v/>
      </c>
      <c r="G19" s="13">
        <f>E19+F19</f>
        <v/>
      </c>
    </row>
    <row r="20">
      <c r="A20" s="14" t="inlineStr">
        <is>
          <t>Décembre</t>
        </is>
      </c>
      <c r="B20" s="15" t="n">
        <v>12</v>
      </c>
      <c r="C20" s="16">
        <f>SUMIFS(Réparations!$F$5:$F$24, Réparations!$M$5:$M$24, B20)</f>
        <v/>
      </c>
      <c r="D20" s="16">
        <f>SUMIFS(Réparations!$G$5:$G$24, Réparations!$M$5:$M$24, B20)</f>
        <v/>
      </c>
      <c r="E20" s="17">
        <f>C20+D20</f>
        <v/>
      </c>
      <c r="F20" s="16">
        <f>E20*0.18</f>
        <v/>
      </c>
      <c r="G20" s="17">
        <f>E20+F20</f>
        <v/>
      </c>
    </row>
    <row r="21">
      <c r="A21" s="18" t="inlineStr">
        <is>
          <t>TOTAL ANNUEL</t>
        </is>
      </c>
      <c r="B21" s="19" t="inlineStr">
        <is>
          <t>12</t>
        </is>
      </c>
      <c r="C21" s="20">
        <f>SUM(C9:C20)</f>
        <v/>
      </c>
      <c r="D21" s="20">
        <f>SUM(D9:D20)</f>
        <v/>
      </c>
      <c r="E21" s="20">
        <f>SUM(E9:E20)</f>
        <v/>
      </c>
      <c r="F21" s="20">
        <f>SUM(F9:F20)</f>
        <v/>
      </c>
      <c r="G21" s="20">
        <f>SUM(G9:G20)</f>
        <v/>
      </c>
    </row>
  </sheetData>
  <mergeCells count="8">
    <mergeCell ref="G4:H4"/>
    <mergeCell ref="I4:J4"/>
    <mergeCell ref="D5:F5"/>
    <mergeCell ref="A5:C5"/>
    <mergeCell ref="D4:F4"/>
    <mergeCell ref="G5:H5"/>
    <mergeCell ref="I5:J5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3" customWidth="1" min="3" max="3"/>
    <col width="28" customWidth="1" min="4" max="4"/>
    <col width="15" customWidth="1" min="5" max="5"/>
  </cols>
  <sheetData>
    <row r="1">
      <c r="A1" s="1" t="inlineStr">
        <is>
          <t>RÉPERTOIRE DES CLIENTS</t>
        </is>
      </c>
    </row>
    <row r="2">
      <c r="A2" s="2" t="inlineStr">
        <is>
          <t>Suivi des propriétaires, contacts et marques de motocycles prises en charge.</t>
        </is>
      </c>
    </row>
    <row r="3"/>
    <row r="4" ht="26" customHeight="1">
      <c r="A4" s="9" t="inlineStr">
        <is>
          <t>ID Client</t>
        </is>
      </c>
      <c r="B4" s="9" t="inlineStr">
        <is>
          <t>Nom &amp; Prénom</t>
        </is>
      </c>
      <c r="C4" s="9" t="inlineStr">
        <is>
          <t>Téléphone</t>
        </is>
      </c>
      <c r="D4" s="9" t="inlineStr">
        <is>
          <t>Adresse / Ville</t>
        </is>
      </c>
      <c r="E4" s="9" t="inlineStr">
        <is>
          <t>Marque Moto</t>
        </is>
      </c>
    </row>
    <row r="5">
      <c r="A5" s="11" t="inlineStr">
        <is>
          <t>CLT-001</t>
        </is>
      </c>
      <c r="B5" s="10" t="inlineStr">
        <is>
          <t>KOUASSI Yao Jean</t>
        </is>
      </c>
      <c r="C5" s="11" t="inlineStr">
        <is>
          <t>+225 07 48 12 34 56</t>
        </is>
      </c>
      <c r="D5" s="10" t="inlineStr">
        <is>
          <t>Abidjan - Treichville</t>
        </is>
      </c>
      <c r="E5" s="10" t="inlineStr">
        <is>
          <t>Yamaha</t>
        </is>
      </c>
    </row>
    <row r="6">
      <c r="A6" s="15" t="inlineStr">
        <is>
          <t>CLT-002</t>
        </is>
      </c>
      <c r="B6" s="14" t="inlineStr">
        <is>
          <t>TRAORÉ Mamadou</t>
        </is>
      </c>
      <c r="C6" s="15" t="inlineStr">
        <is>
          <t>+225 05 64 22 19 80</t>
        </is>
      </c>
      <c r="D6" s="14" t="inlineStr">
        <is>
          <t>Abidjan - Yopougon</t>
        </is>
      </c>
      <c r="E6" s="14" t="inlineStr">
        <is>
          <t>Bajaj</t>
        </is>
      </c>
    </row>
    <row r="7">
      <c r="A7" s="11" t="inlineStr">
        <is>
          <t>CLT-003</t>
        </is>
      </c>
      <c r="B7" s="10" t="inlineStr">
        <is>
          <t>DIABATÉ Ibrahima</t>
        </is>
      </c>
      <c r="C7" s="11" t="inlineStr">
        <is>
          <t>+225 01 77 90 45 11</t>
        </is>
      </c>
      <c r="D7" s="10" t="inlineStr">
        <is>
          <t>Abidjan - Marcory</t>
        </is>
      </c>
      <c r="E7" s="10" t="inlineStr">
        <is>
          <t>Honda</t>
        </is>
      </c>
    </row>
    <row r="8">
      <c r="A8" s="15" t="inlineStr">
        <is>
          <t>CLT-004</t>
        </is>
      </c>
      <c r="B8" s="14" t="inlineStr">
        <is>
          <t>KONAN Affoué Sylvie</t>
        </is>
      </c>
      <c r="C8" s="15" t="inlineStr">
        <is>
          <t>+225 07 09 88 76 23</t>
        </is>
      </c>
      <c r="D8" s="14" t="inlineStr">
        <is>
          <t>Abidjan - Cocody</t>
        </is>
      </c>
      <c r="E8" s="14" t="inlineStr">
        <is>
          <t>Yamaha</t>
        </is>
      </c>
    </row>
    <row r="9">
      <c r="A9" s="11" t="inlineStr">
        <is>
          <t>CLT-005</t>
        </is>
      </c>
      <c r="B9" s="10" t="inlineStr">
        <is>
          <t>BAKAYOKO Souleymane</t>
        </is>
      </c>
      <c r="C9" s="11" t="inlineStr">
        <is>
          <t>+225 05 55 43 21 00</t>
        </is>
      </c>
      <c r="D9" s="10" t="inlineStr">
        <is>
          <t>Abidjan - Adjamé</t>
        </is>
      </c>
      <c r="E9" s="10" t="inlineStr">
        <is>
          <t>TVS</t>
        </is>
      </c>
    </row>
    <row r="10">
      <c r="A10" s="15" t="inlineStr">
        <is>
          <t>CLT-006</t>
        </is>
      </c>
      <c r="B10" s="14" t="inlineStr">
        <is>
          <t>SÉKA Gnangoran Guy</t>
        </is>
      </c>
      <c r="C10" s="15" t="inlineStr">
        <is>
          <t>+225 07 88 11 02 44</t>
        </is>
      </c>
      <c r="D10" s="14" t="inlineStr">
        <is>
          <t>Abidjan - Koumassi</t>
        </is>
      </c>
      <c r="E10" s="14" t="inlineStr">
        <is>
          <t>Haojue</t>
        </is>
      </c>
    </row>
    <row r="11">
      <c r="A11" s="11" t="inlineStr">
        <is>
          <t>CLT-007</t>
        </is>
      </c>
      <c r="B11" s="10" t="inlineStr">
        <is>
          <t>N'GUESSAN Koffi Éric</t>
        </is>
      </c>
      <c r="C11" s="11" t="inlineStr">
        <is>
          <t>+225 01 40 23 88 95</t>
        </is>
      </c>
      <c r="D11" s="10" t="inlineStr">
        <is>
          <t>Abidjan - Port-Bouët</t>
        </is>
      </c>
      <c r="E11" s="10" t="inlineStr">
        <is>
          <t>KTM</t>
        </is>
      </c>
    </row>
    <row r="12">
      <c r="A12" s="15" t="inlineStr">
        <is>
          <t>CLT-008</t>
        </is>
      </c>
      <c r="B12" s="14" t="inlineStr">
        <is>
          <t>OUÉDRAOGO Rasmané</t>
        </is>
      </c>
      <c r="C12" s="15" t="inlineStr">
        <is>
          <t>+225 05 12 67 94 33</t>
        </is>
      </c>
      <c r="D12" s="14" t="inlineStr">
        <is>
          <t>Abidjan - Abobo</t>
        </is>
      </c>
      <c r="E12" s="14" t="inlineStr">
        <is>
          <t>Bajaj</t>
        </is>
      </c>
    </row>
    <row r="13">
      <c r="A13" s="11" t="inlineStr">
        <is>
          <t>CLT-009</t>
        </is>
      </c>
      <c r="B13" s="10" t="inlineStr">
        <is>
          <t>AMANI Brou Patrice</t>
        </is>
      </c>
      <c r="C13" s="11" t="inlineStr">
        <is>
          <t>+225 07 33 55 88 12</t>
        </is>
      </c>
      <c r="D13" s="10" t="inlineStr">
        <is>
          <t>Abidjan - Plateau</t>
        </is>
      </c>
      <c r="E13" s="10" t="inlineStr">
        <is>
          <t>Yamaha</t>
        </is>
      </c>
    </row>
    <row r="14">
      <c r="A14" s="15" t="inlineStr">
        <is>
          <t>CLT-010</t>
        </is>
      </c>
      <c r="B14" s="14" t="inlineStr">
        <is>
          <t>ZOUZOUA Mireille</t>
        </is>
      </c>
      <c r="C14" s="15" t="inlineStr">
        <is>
          <t>+225 01 02 44 89 77</t>
        </is>
      </c>
      <c r="D14" s="14" t="inlineStr">
        <is>
          <t>Abidjan - Cocody Riviera</t>
        </is>
      </c>
      <c r="E14" s="14" t="inlineStr">
        <is>
          <t>Honda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19" customWidth="1" min="3" max="3"/>
    <col width="20" customWidth="1" min="4" max="4"/>
    <col width="21" customWidth="1" min="5" max="5"/>
    <col width="17" customWidth="1" min="6" max="6"/>
    <col width="22" customWidth="1" min="7" max="7"/>
    <col width="19" customWidth="1" min="8" max="8"/>
  </cols>
  <sheetData>
    <row r="1">
      <c r="A1" s="1" t="inlineStr">
        <is>
          <t>INVENTAIRE DU STOCK DE PIÈCES DÉTACHÉES</t>
        </is>
      </c>
    </row>
    <row r="2">
      <c r="A2" s="2" t="inlineStr">
        <is>
          <t>Gestion des pièces, valorisation du stock au prix d'achat et alertes de réapprovisionnement.</t>
        </is>
      </c>
    </row>
    <row r="3"/>
    <row r="4" ht="26" customHeight="1">
      <c r="A4" s="9" t="inlineStr">
        <is>
          <t>Réf Pièce</t>
        </is>
      </c>
      <c r="B4" s="9" t="inlineStr">
        <is>
          <t>Désignation</t>
        </is>
      </c>
      <c r="C4" s="9" t="inlineStr">
        <is>
          <t>Prix d'Achat HT</t>
        </is>
      </c>
      <c r="D4" s="9" t="inlineStr">
        <is>
          <t>Prix de Vente HT</t>
        </is>
      </c>
      <c r="E4" s="9" t="inlineStr">
        <is>
          <t>Quantité en Stock</t>
        </is>
      </c>
      <c r="F4" s="9" t="inlineStr">
        <is>
          <t>Stock Minimum</t>
        </is>
      </c>
      <c r="G4" s="9" t="inlineStr">
        <is>
          <t>Valeur du Stock HT</t>
        </is>
      </c>
      <c r="H4" s="9" t="inlineStr">
        <is>
          <t>Statut Stock</t>
        </is>
      </c>
    </row>
    <row r="5">
      <c r="A5" s="11" t="inlineStr">
        <is>
          <t>PIEC-001</t>
        </is>
      </c>
      <c r="B5" s="10" t="inlineStr">
        <is>
          <t>Huile Moteur 20W50 4T (Bidon 1L)</t>
        </is>
      </c>
      <c r="C5" s="12" t="n">
        <v>3500</v>
      </c>
      <c r="D5" s="12" t="n">
        <v>5500</v>
      </c>
      <c r="E5" s="21" t="n">
        <v>4</v>
      </c>
      <c r="F5" s="21" t="n">
        <v>10</v>
      </c>
      <c r="G5" s="13">
        <f>C5*E5</f>
        <v/>
      </c>
      <c r="H5" s="22">
        <f>IF(E5&lt;=F5,"RÉAPPROVISIONNER","OK")</f>
        <v/>
      </c>
    </row>
    <row r="6">
      <c r="A6" s="15" t="inlineStr">
        <is>
          <t>PIEC-002</t>
        </is>
      </c>
      <c r="B6" s="14" t="inlineStr">
        <is>
          <t>Bougie d'allumage standard (NGK C7HSA)</t>
        </is>
      </c>
      <c r="C6" s="16" t="n">
        <v>1200</v>
      </c>
      <c r="D6" s="16" t="n">
        <v>2500</v>
      </c>
      <c r="E6" s="23" t="n">
        <v>15</v>
      </c>
      <c r="F6" s="23" t="n">
        <v>10</v>
      </c>
      <c r="G6" s="17">
        <f>C6*E6</f>
        <v/>
      </c>
      <c r="H6" s="24">
        <f>IF(E6&lt;=F6,"RÉAPPROVISIONNER","OK")</f>
        <v/>
      </c>
    </row>
    <row r="7">
      <c r="A7" s="11" t="inlineStr">
        <is>
          <t>PIEC-003</t>
        </is>
      </c>
      <c r="B7" s="10" t="inlineStr">
        <is>
          <t>Kit Chaîne de transmission 428H</t>
        </is>
      </c>
      <c r="C7" s="12" t="n">
        <v>12000</v>
      </c>
      <c r="D7" s="12" t="n">
        <v>18500</v>
      </c>
      <c r="E7" s="21" t="n">
        <v>3</v>
      </c>
      <c r="F7" s="21" t="n">
        <v>5</v>
      </c>
      <c r="G7" s="13">
        <f>C7*E7</f>
        <v/>
      </c>
      <c r="H7" s="22">
        <f>IF(E7&lt;=F7,"RÉAPPROVISIONNER","OK")</f>
        <v/>
      </c>
    </row>
    <row r="8">
      <c r="A8" s="15" t="inlineStr">
        <is>
          <t>PIEC-004</t>
        </is>
      </c>
      <c r="B8" s="14" t="inlineStr">
        <is>
          <t>Plaquettes de frein avant à disque</t>
        </is>
      </c>
      <c r="C8" s="16" t="n">
        <v>3000</v>
      </c>
      <c r="D8" s="16" t="n">
        <v>6000</v>
      </c>
      <c r="E8" s="23" t="n">
        <v>8</v>
      </c>
      <c r="F8" s="23" t="n">
        <v>6</v>
      </c>
      <c r="G8" s="17">
        <f>C8*E8</f>
        <v/>
      </c>
      <c r="H8" s="24">
        <f>IF(E8&lt;=F8,"RÉAPPROVISIONNER","OK")</f>
        <v/>
      </c>
    </row>
    <row r="9">
      <c r="A9" s="11" t="inlineStr">
        <is>
          <t>PIEC-005</t>
        </is>
      </c>
      <c r="B9" s="10" t="inlineStr">
        <is>
          <t>Mâchoires de frein arrière à tambour</t>
        </is>
      </c>
      <c r="C9" s="12" t="n">
        <v>2500</v>
      </c>
      <c r="D9" s="12" t="n">
        <v>5000</v>
      </c>
      <c r="E9" s="21" t="n">
        <v>2</v>
      </c>
      <c r="F9" s="21" t="n">
        <v>5</v>
      </c>
      <c r="G9" s="13">
        <f>C9*E9</f>
        <v/>
      </c>
      <c r="H9" s="22">
        <f>IF(E9&lt;=F9,"RÉAPPROVISIONNER","OK")</f>
        <v/>
      </c>
    </row>
    <row r="10">
      <c r="A10" s="15" t="inlineStr">
        <is>
          <t>PIEC-006</t>
        </is>
      </c>
      <c r="B10" s="14" t="inlineStr">
        <is>
          <t>Pneu Arrière Renforcé 3.00-17</t>
        </is>
      </c>
      <c r="C10" s="16" t="n">
        <v>14000</v>
      </c>
      <c r="D10" s="16" t="n">
        <v>22000</v>
      </c>
      <c r="E10" s="23" t="n">
        <v>6</v>
      </c>
      <c r="F10" s="23" t="n">
        <v>4</v>
      </c>
      <c r="G10" s="17">
        <f>C10*E10</f>
        <v/>
      </c>
      <c r="H10" s="24">
        <f>IF(E10&lt;=F10,"RÉAPPROVISIONNER","OK")</f>
        <v/>
      </c>
    </row>
    <row r="11">
      <c r="A11" s="11" t="inlineStr">
        <is>
          <t>PIEC-007</t>
        </is>
      </c>
      <c r="B11" s="10" t="inlineStr">
        <is>
          <t>Chambre à air renforcée 2.75/3.00-17</t>
        </is>
      </c>
      <c r="C11" s="12" t="n">
        <v>2000</v>
      </c>
      <c r="D11" s="12" t="n">
        <v>3500</v>
      </c>
      <c r="E11" s="21" t="n">
        <v>18</v>
      </c>
      <c r="F11" s="21" t="n">
        <v>8</v>
      </c>
      <c r="G11" s="13">
        <f>C11*E11</f>
        <v/>
      </c>
      <c r="H11" s="22">
        <f>IF(E11&lt;=F11,"RÉAPPROVISIONNER","OK")</f>
        <v/>
      </c>
    </row>
    <row r="12">
      <c r="A12" s="15" t="inlineStr">
        <is>
          <t>PIEC-008</t>
        </is>
      </c>
      <c r="B12" s="14" t="inlineStr">
        <is>
          <t>Câble d'embrayage renforcé</t>
        </is>
      </c>
      <c r="C12" s="16" t="n">
        <v>1500</v>
      </c>
      <c r="D12" s="16" t="n">
        <v>3000</v>
      </c>
      <c r="E12" s="23" t="n">
        <v>7</v>
      </c>
      <c r="F12" s="23" t="n">
        <v>5</v>
      </c>
      <c r="G12" s="17">
        <f>C12*E12</f>
        <v/>
      </c>
      <c r="H12" s="24">
        <f>IF(E12&lt;=F12,"RÉAPPROVISIONNER","OK")</f>
        <v/>
      </c>
    </row>
    <row r="13">
      <c r="A13" s="11" t="inlineStr">
        <is>
          <t>PIEC-009</t>
        </is>
      </c>
      <c r="B13" s="10" t="inlineStr">
        <is>
          <t>Câble de frein avant</t>
        </is>
      </c>
      <c r="C13" s="12" t="n">
        <v>1500</v>
      </c>
      <c r="D13" s="12" t="n">
        <v>3000</v>
      </c>
      <c r="E13" s="21" t="n">
        <v>3</v>
      </c>
      <c r="F13" s="21" t="n">
        <v>5</v>
      </c>
      <c r="G13" s="13">
        <f>C13*E13</f>
        <v/>
      </c>
      <c r="H13" s="22">
        <f>IF(E13&lt;=F13,"RÉAPPROVISIONNER","OK")</f>
        <v/>
      </c>
    </row>
    <row r="14">
      <c r="A14" s="15" t="inlineStr">
        <is>
          <t>PIEC-010</t>
        </is>
      </c>
      <c r="B14" s="14" t="inlineStr">
        <is>
          <t>Filtre à air mousse haute filtration</t>
        </is>
      </c>
      <c r="C14" s="16" t="n">
        <v>1800</v>
      </c>
      <c r="D14" s="16" t="n">
        <v>3500</v>
      </c>
      <c r="E14" s="23" t="n">
        <v>12</v>
      </c>
      <c r="F14" s="23" t="n">
        <v>6</v>
      </c>
      <c r="G14" s="17">
        <f>C14*E14</f>
        <v/>
      </c>
      <c r="H14" s="24">
        <f>IF(E14&lt;=F14,"RÉAPPROVISIONNER","OK")</f>
        <v/>
      </c>
    </row>
    <row r="15">
      <c r="A15" s="11" t="inlineStr">
        <is>
          <t>PIEC-011</t>
        </is>
      </c>
      <c r="B15" s="10" t="inlineStr">
        <is>
          <t>Batterie 12V 5Ah sans entretien</t>
        </is>
      </c>
      <c r="C15" s="12" t="n">
        <v>11000</v>
      </c>
      <c r="D15" s="12" t="n">
        <v>17000</v>
      </c>
      <c r="E15" s="21" t="n">
        <v>2</v>
      </c>
      <c r="F15" s="21" t="n">
        <v>4</v>
      </c>
      <c r="G15" s="13">
        <f>C15*E15</f>
        <v/>
      </c>
      <c r="H15" s="22">
        <f>IF(E15&lt;=F15,"RÉAPPROVISIONNER","OK")</f>
        <v/>
      </c>
    </row>
    <row r="16">
      <c r="A16" s="15" t="inlineStr">
        <is>
          <t>PIEC-012</t>
        </is>
      </c>
      <c r="B16" s="14" t="inlineStr">
        <is>
          <t>Ampoule Phare LED H4 12V</t>
        </is>
      </c>
      <c r="C16" s="16" t="n">
        <v>2500</v>
      </c>
      <c r="D16" s="16" t="n">
        <v>5000</v>
      </c>
      <c r="E16" s="23" t="n">
        <v>9</v>
      </c>
      <c r="F16" s="23" t="n">
        <v>5</v>
      </c>
      <c r="G16" s="17">
        <f>C16*E16</f>
        <v/>
      </c>
      <c r="H16" s="24">
        <f>IF(E16&lt;=F16,"RÉAPPROVISIONNER","OK")</f>
        <v/>
      </c>
    </row>
    <row r="17">
      <c r="A17" s="11" t="inlineStr">
        <is>
          <t>PIEC-013</t>
        </is>
      </c>
      <c r="B17" s="10" t="inlineStr">
        <is>
          <t>Joint de culasse moteur 110cc-150cc</t>
        </is>
      </c>
      <c r="C17" s="12" t="n">
        <v>1000</v>
      </c>
      <c r="D17" s="12" t="n">
        <v>2500</v>
      </c>
      <c r="E17" s="21" t="n">
        <v>8</v>
      </c>
      <c r="F17" s="21" t="n">
        <v>6</v>
      </c>
      <c r="G17" s="13">
        <f>C17*E17</f>
        <v/>
      </c>
      <c r="H17" s="22">
        <f>IF(E17&lt;=F17,"RÉAPPROVISIONNER","OK")</f>
        <v/>
      </c>
    </row>
    <row r="18">
      <c r="A18" s="15" t="inlineStr">
        <is>
          <t>PIEC-014</t>
        </is>
      </c>
      <c r="B18" s="14" t="inlineStr">
        <is>
          <t>Amortisseur arrière hydraulique (la paire)</t>
        </is>
      </c>
      <c r="C18" s="16" t="n">
        <v>18000</v>
      </c>
      <c r="D18" s="16" t="n">
        <v>28000</v>
      </c>
      <c r="E18" s="23" t="n">
        <v>1</v>
      </c>
      <c r="F18" s="23" t="n">
        <v>3</v>
      </c>
      <c r="G18" s="17">
        <f>C18*E18</f>
        <v/>
      </c>
      <c r="H18" s="24">
        <f>IF(E18&lt;=F18,"RÉAPPROVISIONNER","OK")</f>
        <v/>
      </c>
    </row>
    <row r="19">
      <c r="A19" s="11" t="inlineStr">
        <is>
          <t>PIEC-015</t>
        </is>
      </c>
      <c r="B19" s="10" t="inlineStr">
        <is>
          <t>Carburateur standard complet 125cc</t>
        </is>
      </c>
      <c r="C19" s="12" t="n">
        <v>15000</v>
      </c>
      <c r="D19" s="12" t="n">
        <v>24000</v>
      </c>
      <c r="E19" s="21" t="n">
        <v>2</v>
      </c>
      <c r="F19" s="21" t="n">
        <v>3</v>
      </c>
      <c r="G19" s="13">
        <f>C19*E19</f>
        <v/>
      </c>
      <c r="H19" s="22">
        <f>IF(E19&lt;=F19,"RÉAPPROVISIONNER","OK")</f>
        <v/>
      </c>
    </row>
    <row r="20">
      <c r="A20" s="25" t="n"/>
      <c r="B20" s="26" t="inlineStr">
        <is>
          <t>TOTAL VALEUR DU STOCK</t>
        </is>
      </c>
      <c r="C20" s="25" t="n"/>
      <c r="D20" s="25" t="n"/>
      <c r="E20" s="27">
        <f>SUM(E5:E19)</f>
        <v/>
      </c>
      <c r="F20" s="25" t="n"/>
      <c r="G20" s="28">
        <f>SUM(G5:G19)</f>
        <v/>
      </c>
      <c r="H20" s="25" t="n"/>
    </row>
  </sheetData>
  <conditionalFormatting sqref="H5:H19">
    <cfRule type="cellIs" priority="1" operator="equal" dxfId="0" stopIfTrue="1">
      <formula>"RÉAPPROVISIONNER"</formula>
    </cfRule>
    <cfRule type="cellIs" priority="2" operator="equal" dxfId="1" stopIfTrue="1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33" customWidth="1" min="4" max="4"/>
    <col width="4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7" customWidth="1" min="11" max="11"/>
    <col width="19" customWidth="1" min="12" max="12"/>
    <col width="19" customWidth="1" min="13" max="13"/>
  </cols>
  <sheetData>
    <row r="1">
      <c r="A1" s="1" t="inlineStr">
        <is>
          <t>REGISTRE DES RÉPARATIONS &amp; ORDRES DE SERVICE</t>
        </is>
      </c>
    </row>
    <row r="2">
      <c r="A2" s="2" t="inlineStr">
        <is>
          <t>Journal des interventions d'atelier, facturation HT/TVA/TTC et modes de règlement.</t>
        </is>
      </c>
    </row>
    <row r="3"/>
    <row r="4" ht="26" customHeight="1">
      <c r="A4" s="9" t="inlineStr">
        <is>
          <t>N° Fiche</t>
        </is>
      </c>
      <c r="B4" s="9" t="inlineStr">
        <is>
          <t>Date</t>
        </is>
      </c>
      <c r="C4" s="9" t="inlineStr">
        <is>
          <t>Client</t>
        </is>
      </c>
      <c r="D4" s="9" t="inlineStr">
        <is>
          <t>Véhicule / Immat</t>
        </is>
      </c>
      <c r="E4" s="9" t="inlineStr">
        <is>
          <t>Description Intervention</t>
        </is>
      </c>
      <c r="F4" s="9" t="inlineStr">
        <is>
          <t>Total Pièces HT</t>
        </is>
      </c>
      <c r="G4" s="9" t="inlineStr">
        <is>
          <t>Main d'œuvre HT</t>
        </is>
      </c>
      <c r="H4" s="9" t="inlineStr">
        <is>
          <t>Total HT</t>
        </is>
      </c>
      <c r="I4" s="9" t="inlineStr">
        <is>
          <t>TVA 18%</t>
        </is>
      </c>
      <c r="J4" s="9" t="inlineStr">
        <is>
          <t>Total TTC</t>
        </is>
      </c>
      <c r="K4" s="9" t="inlineStr">
        <is>
          <t>Mode Paiement</t>
        </is>
      </c>
      <c r="L4" s="9" t="inlineStr">
        <is>
          <t>Statut Paiement</t>
        </is>
      </c>
      <c r="M4" s="9" t="inlineStr">
        <is>
          <t>N° Mois</t>
        </is>
      </c>
    </row>
    <row r="5">
      <c r="A5" s="11" t="inlineStr">
        <is>
          <t>OR-2026-001</t>
        </is>
      </c>
      <c r="B5" s="29" t="n">
        <v>46030</v>
      </c>
      <c r="C5" s="10" t="inlineStr">
        <is>
          <t>KOUASSI Yao Jean</t>
        </is>
      </c>
      <c r="D5" s="10" t="inlineStr">
        <is>
          <t>Yamaha Crypton (AB-4589-CI)</t>
        </is>
      </c>
      <c r="E5" s="10" t="inlineStr">
        <is>
          <t>Vidange complète + Remplacement bougie</t>
        </is>
      </c>
      <c r="F5" s="12" t="n">
        <v>8000</v>
      </c>
      <c r="G5" s="12" t="n">
        <v>5000</v>
      </c>
      <c r="H5" s="13">
        <f>F5+G5</f>
        <v/>
      </c>
      <c r="I5" s="12">
        <f>H5*0.18</f>
        <v/>
      </c>
      <c r="J5" s="13">
        <f>H5+I5</f>
        <v/>
      </c>
      <c r="K5" s="11" t="inlineStr">
        <is>
          <t>Mobile Money</t>
        </is>
      </c>
      <c r="L5" s="22" t="inlineStr">
        <is>
          <t>Payé</t>
        </is>
      </c>
      <c r="M5" s="21">
        <f>MONTH(B5)</f>
        <v/>
      </c>
    </row>
    <row r="6">
      <c r="A6" s="15" t="inlineStr">
        <is>
          <t>OR-2026-002</t>
        </is>
      </c>
      <c r="B6" s="30" t="n">
        <v>46043</v>
      </c>
      <c r="C6" s="14" t="inlineStr">
        <is>
          <t>TRAORÉ Mamadou</t>
        </is>
      </c>
      <c r="D6" s="14" t="inlineStr">
        <is>
          <t>Bajaj Boxer 150 (AB-9102-CI)</t>
        </is>
      </c>
      <c r="E6" s="14" t="inlineStr">
        <is>
          <t>Changement kit chaîne + réglage carbu</t>
        </is>
      </c>
      <c r="F6" s="16" t="n">
        <v>18500</v>
      </c>
      <c r="G6" s="16" t="n">
        <v>7500</v>
      </c>
      <c r="H6" s="17">
        <f>F6+G6</f>
        <v/>
      </c>
      <c r="I6" s="16">
        <f>H6*0.18</f>
        <v/>
      </c>
      <c r="J6" s="17">
        <f>H6+I6</f>
        <v/>
      </c>
      <c r="K6" s="15" t="inlineStr">
        <is>
          <t>Espèces</t>
        </is>
      </c>
      <c r="L6" s="24" t="inlineStr">
        <is>
          <t>Payé</t>
        </is>
      </c>
      <c r="M6" s="23">
        <f>MONTH(B6)</f>
        <v/>
      </c>
    </row>
    <row r="7">
      <c r="A7" s="11" t="inlineStr">
        <is>
          <t>OR-2026-003</t>
        </is>
      </c>
      <c r="B7" s="29" t="n">
        <v>46058</v>
      </c>
      <c r="C7" s="10" t="inlineStr">
        <is>
          <t>DIABATÉ Ibrahima</t>
        </is>
      </c>
      <c r="D7" s="10" t="inlineStr">
        <is>
          <t>Honda Ace 110 (AB-3312-CI)</t>
        </is>
      </c>
      <c r="E7" s="10" t="inlineStr">
        <is>
          <t>Remplacement pneu arrière + chambre à air</t>
        </is>
      </c>
      <c r="F7" s="12" t="n">
        <v>25500</v>
      </c>
      <c r="G7" s="12" t="n">
        <v>6000</v>
      </c>
      <c r="H7" s="13">
        <f>F7+G7</f>
        <v/>
      </c>
      <c r="I7" s="12">
        <f>H7*0.18</f>
        <v/>
      </c>
      <c r="J7" s="13">
        <f>H7+I7</f>
        <v/>
      </c>
      <c r="K7" s="11" t="inlineStr">
        <is>
          <t>Mobile Money</t>
        </is>
      </c>
      <c r="L7" s="22" t="inlineStr">
        <is>
          <t>Payé</t>
        </is>
      </c>
      <c r="M7" s="21">
        <f>MONTH(B7)</f>
        <v/>
      </c>
    </row>
    <row r="8">
      <c r="A8" s="15" t="inlineStr">
        <is>
          <t>OR-2026-004</t>
        </is>
      </c>
      <c r="B8" s="30" t="n">
        <v>46071</v>
      </c>
      <c r="C8" s="14" t="inlineStr">
        <is>
          <t>KONAN Affoué Sylvie</t>
        </is>
      </c>
      <c r="D8" s="14" t="inlineStr">
        <is>
          <t>Yamaha NMAX 155 (AB-7721-CI)</t>
        </is>
      </c>
      <c r="E8" s="14" t="inlineStr">
        <is>
          <t>Plaquettes frein AV + révision transmission</t>
        </is>
      </c>
      <c r="F8" s="16" t="n">
        <v>12000</v>
      </c>
      <c r="G8" s="16" t="n">
        <v>10000</v>
      </c>
      <c r="H8" s="17">
        <f>F8+G8</f>
        <v/>
      </c>
      <c r="I8" s="16">
        <f>H8*0.18</f>
        <v/>
      </c>
      <c r="J8" s="17">
        <f>H8+I8</f>
        <v/>
      </c>
      <c r="K8" s="15" t="inlineStr">
        <is>
          <t>Virement</t>
        </is>
      </c>
      <c r="L8" s="24" t="inlineStr">
        <is>
          <t>Payé</t>
        </is>
      </c>
      <c r="M8" s="23">
        <f>MONTH(B8)</f>
        <v/>
      </c>
    </row>
    <row r="9">
      <c r="A9" s="11" t="inlineStr">
        <is>
          <t>OR-2026-005</t>
        </is>
      </c>
      <c r="B9" s="29" t="n">
        <v>46091</v>
      </c>
      <c r="C9" s="10" t="inlineStr">
        <is>
          <t>BAKAYOKO Souleymane</t>
        </is>
      </c>
      <c r="D9" s="10" t="inlineStr">
        <is>
          <t>TVS Apache 160 (AB-2144-CI)</t>
        </is>
      </c>
      <c r="E9" s="10" t="inlineStr">
        <is>
          <t>Batterie neuve + remplacement ampoule LED</t>
        </is>
      </c>
      <c r="F9" s="12" t="n">
        <v>22000</v>
      </c>
      <c r="G9" s="12" t="n">
        <v>4500</v>
      </c>
      <c r="H9" s="13">
        <f>F9+G9</f>
        <v/>
      </c>
      <c r="I9" s="12">
        <f>H9*0.18</f>
        <v/>
      </c>
      <c r="J9" s="13">
        <f>H9+I9</f>
        <v/>
      </c>
      <c r="K9" s="11" t="inlineStr">
        <is>
          <t>Mobile Money</t>
        </is>
      </c>
      <c r="L9" s="22" t="inlineStr">
        <is>
          <t>Payé</t>
        </is>
      </c>
      <c r="M9" s="21">
        <f>MONTH(B9)</f>
        <v/>
      </c>
    </row>
    <row r="10">
      <c r="A10" s="15" t="inlineStr">
        <is>
          <t>OR-2026-006</t>
        </is>
      </c>
      <c r="B10" s="30" t="n">
        <v>46108</v>
      </c>
      <c r="C10" s="14" t="inlineStr">
        <is>
          <t>SÉKA Gnangoran Guy</t>
        </is>
      </c>
      <c r="D10" s="14" t="inlineStr">
        <is>
          <t>Haojue Lucky 110 (AB-6650-CI)</t>
        </is>
      </c>
      <c r="E10" s="14" t="inlineStr">
        <is>
          <t>Câble frein + mâchoires arrière + filtre</t>
        </is>
      </c>
      <c r="F10" s="16" t="n">
        <v>11500</v>
      </c>
      <c r="G10" s="16" t="n">
        <v>6500</v>
      </c>
      <c r="H10" s="17">
        <f>F10+G10</f>
        <v/>
      </c>
      <c r="I10" s="16">
        <f>H10*0.18</f>
        <v/>
      </c>
      <c r="J10" s="17">
        <f>H10+I10</f>
        <v/>
      </c>
      <c r="K10" s="15" t="inlineStr">
        <is>
          <t>Espèces</t>
        </is>
      </c>
      <c r="L10" s="24" t="inlineStr">
        <is>
          <t>Payé</t>
        </is>
      </c>
      <c r="M10" s="23">
        <f>MONTH(B10)</f>
        <v/>
      </c>
    </row>
    <row r="11">
      <c r="A11" s="11" t="inlineStr">
        <is>
          <t>OR-2026-007</t>
        </is>
      </c>
      <c r="B11" s="29" t="n">
        <v>46124</v>
      </c>
      <c r="C11" s="10" t="inlineStr">
        <is>
          <t>N'GUESSAN Koffi Éric</t>
        </is>
      </c>
      <c r="D11" s="10" t="inlineStr">
        <is>
          <t>KTM Duke 200 (AB-1189-CI)</t>
        </is>
      </c>
      <c r="E11" s="10" t="inlineStr">
        <is>
          <t>Changement amortisseurs + vidange synthèse</t>
        </is>
      </c>
      <c r="F11" s="12" t="n">
        <v>33500</v>
      </c>
      <c r="G11" s="12" t="n">
        <v>15000</v>
      </c>
      <c r="H11" s="13">
        <f>F11+G11</f>
        <v/>
      </c>
      <c r="I11" s="12">
        <f>H11*0.18</f>
        <v/>
      </c>
      <c r="J11" s="13">
        <f>H11+I11</f>
        <v/>
      </c>
      <c r="K11" s="11" t="inlineStr">
        <is>
          <t>Mobile Money</t>
        </is>
      </c>
      <c r="L11" s="22" t="inlineStr">
        <is>
          <t>Payé</t>
        </is>
      </c>
      <c r="M11" s="21">
        <f>MONTH(B11)</f>
        <v/>
      </c>
    </row>
    <row r="12">
      <c r="A12" s="15" t="inlineStr">
        <is>
          <t>OR-2026-008</t>
        </is>
      </c>
      <c r="B12" s="30" t="n">
        <v>46137</v>
      </c>
      <c r="C12" s="14" t="inlineStr">
        <is>
          <t>OUÉDRAOGO Rasmané</t>
        </is>
      </c>
      <c r="D12" s="14" t="inlineStr">
        <is>
          <t>Bajaj Pulsar 180 (AB-5431-CI)</t>
        </is>
      </c>
      <c r="E12" s="14" t="inlineStr">
        <is>
          <t>Remplacement carburateur + câble embrayage</t>
        </is>
      </c>
      <c r="F12" s="16" t="n">
        <v>27000</v>
      </c>
      <c r="G12" s="16" t="n">
        <v>8000</v>
      </c>
      <c r="H12" s="17">
        <f>F12+G12</f>
        <v/>
      </c>
      <c r="I12" s="16">
        <f>H12*0.18</f>
        <v/>
      </c>
      <c r="J12" s="17">
        <f>H12+I12</f>
        <v/>
      </c>
      <c r="K12" s="15" t="inlineStr">
        <is>
          <t>Espèces</t>
        </is>
      </c>
      <c r="L12" s="24" t="inlineStr">
        <is>
          <t>Payé</t>
        </is>
      </c>
      <c r="M12" s="23">
        <f>MONTH(B12)</f>
        <v/>
      </c>
    </row>
    <row r="13">
      <c r="A13" s="11" t="inlineStr">
        <is>
          <t>OR-2026-009</t>
        </is>
      </c>
      <c r="B13" s="29" t="n">
        <v>46151</v>
      </c>
      <c r="C13" s="10" t="inlineStr">
        <is>
          <t>AMANI Brou Patrice</t>
        </is>
      </c>
      <c r="D13" s="10" t="inlineStr">
        <is>
          <t>Yamaha DT 125 (AB-8809-CI)</t>
        </is>
      </c>
      <c r="E13" s="10" t="inlineStr">
        <is>
          <t>Réfection haut moteur + joint culasse</t>
        </is>
      </c>
      <c r="F13" s="12" t="n">
        <v>38000</v>
      </c>
      <c r="G13" s="12" t="n">
        <v>20000</v>
      </c>
      <c r="H13" s="13">
        <f>F13+G13</f>
        <v/>
      </c>
      <c r="I13" s="12">
        <f>H13*0.18</f>
        <v/>
      </c>
      <c r="J13" s="13">
        <f>H13+I13</f>
        <v/>
      </c>
      <c r="K13" s="11" t="inlineStr">
        <is>
          <t>Mobile Money</t>
        </is>
      </c>
      <c r="L13" s="22" t="inlineStr">
        <is>
          <t>Payé</t>
        </is>
      </c>
      <c r="M13" s="21">
        <f>MONTH(B13)</f>
        <v/>
      </c>
    </row>
    <row r="14">
      <c r="A14" s="15" t="inlineStr">
        <is>
          <t>OR-2026-010</t>
        </is>
      </c>
      <c r="B14" s="30" t="n">
        <v>46164</v>
      </c>
      <c r="C14" s="14" t="inlineStr">
        <is>
          <t>ZOUZOUA Mireille</t>
        </is>
      </c>
      <c r="D14" s="14" t="inlineStr">
        <is>
          <t>Honda Wave 110i (AB-9923-CI)</t>
        </is>
      </c>
      <c r="E14" s="14" t="inlineStr">
        <is>
          <t>Plaquettes AV + vidange + bougie</t>
        </is>
      </c>
      <c r="F14" s="16" t="n">
        <v>14000</v>
      </c>
      <c r="G14" s="16" t="n">
        <v>6000</v>
      </c>
      <c r="H14" s="17">
        <f>F14+G14</f>
        <v/>
      </c>
      <c r="I14" s="16">
        <f>H14*0.18</f>
        <v/>
      </c>
      <c r="J14" s="17">
        <f>H14+I14</f>
        <v/>
      </c>
      <c r="K14" s="15" t="inlineStr">
        <is>
          <t>Mobile Money</t>
        </is>
      </c>
      <c r="L14" s="24" t="inlineStr">
        <is>
          <t>Payé</t>
        </is>
      </c>
      <c r="M14" s="23">
        <f>MONTH(B14)</f>
        <v/>
      </c>
    </row>
    <row r="15">
      <c r="A15" s="11" t="inlineStr">
        <is>
          <t>OR-2026-011</t>
        </is>
      </c>
      <c r="B15" s="29" t="n">
        <v>46180</v>
      </c>
      <c r="C15" s="10" t="inlineStr">
        <is>
          <t>KOUASSI Yao Jean</t>
        </is>
      </c>
      <c r="D15" s="10" t="inlineStr">
        <is>
          <t>Yamaha Crypton (AB-4589-CI)</t>
        </is>
      </c>
      <c r="E15" s="10" t="inlineStr">
        <is>
          <t>Kit chaîne transmission + pneu AR</t>
        </is>
      </c>
      <c r="F15" s="12" t="n">
        <v>40500</v>
      </c>
      <c r="G15" s="12" t="n">
        <v>9000</v>
      </c>
      <c r="H15" s="13">
        <f>F15+G15</f>
        <v/>
      </c>
      <c r="I15" s="12">
        <f>H15*0.18</f>
        <v/>
      </c>
      <c r="J15" s="13">
        <f>H15+I15</f>
        <v/>
      </c>
      <c r="K15" s="11" t="inlineStr">
        <is>
          <t>Mobile Money</t>
        </is>
      </c>
      <c r="L15" s="22" t="inlineStr">
        <is>
          <t>Payé</t>
        </is>
      </c>
      <c r="M15" s="21">
        <f>MONTH(B15)</f>
        <v/>
      </c>
    </row>
    <row r="16">
      <c r="A16" s="15" t="inlineStr">
        <is>
          <t>OR-2026-012</t>
        </is>
      </c>
      <c r="B16" s="30" t="n">
        <v>46202</v>
      </c>
      <c r="C16" s="14" t="inlineStr">
        <is>
          <t>TRAORÉ Mamadou</t>
        </is>
      </c>
      <c r="D16" s="14" t="inlineStr">
        <is>
          <t>Bajaj Boxer 150 (AB-9102-CI)</t>
        </is>
      </c>
      <c r="E16" s="14" t="inlineStr">
        <is>
          <t>Vidange + tambour frein AR + filtre à air</t>
        </is>
      </c>
      <c r="F16" s="16" t="n">
        <v>14000</v>
      </c>
      <c r="G16" s="16" t="n">
        <v>6000</v>
      </c>
      <c r="H16" s="17">
        <f>F16+G16</f>
        <v/>
      </c>
      <c r="I16" s="16">
        <f>H16*0.18</f>
        <v/>
      </c>
      <c r="J16" s="17">
        <f>H16+I16</f>
        <v/>
      </c>
      <c r="K16" s="15" t="inlineStr">
        <is>
          <t>Espèces</t>
        </is>
      </c>
      <c r="L16" s="24" t="inlineStr">
        <is>
          <t>Payé</t>
        </is>
      </c>
      <c r="M16" s="23">
        <f>MONTH(B16)</f>
        <v/>
      </c>
    </row>
    <row r="17">
      <c r="A17" s="11" t="inlineStr">
        <is>
          <t>OR-2026-013</t>
        </is>
      </c>
      <c r="B17" s="29" t="n">
        <v>46217</v>
      </c>
      <c r="C17" s="10" t="inlineStr">
        <is>
          <t>DIABATÉ Ibrahima</t>
        </is>
      </c>
      <c r="D17" s="10" t="inlineStr">
        <is>
          <t>Honda Ace 110 (AB-3312-CI)</t>
        </is>
      </c>
      <c r="E17" s="10" t="inlineStr">
        <is>
          <t>Batterie 12V + révision faisceau</t>
        </is>
      </c>
      <c r="F17" s="12" t="n">
        <v>17000</v>
      </c>
      <c r="G17" s="12" t="n">
        <v>7000</v>
      </c>
      <c r="H17" s="13">
        <f>F17+G17</f>
        <v/>
      </c>
      <c r="I17" s="12">
        <f>H17*0.18</f>
        <v/>
      </c>
      <c r="J17" s="13">
        <f>H17+I17</f>
        <v/>
      </c>
      <c r="K17" s="11" t="inlineStr">
        <is>
          <t>Mobile Money</t>
        </is>
      </c>
      <c r="L17" s="22" t="inlineStr">
        <is>
          <t>Payé</t>
        </is>
      </c>
      <c r="M17" s="21">
        <f>MONTH(B17)</f>
        <v/>
      </c>
    </row>
    <row r="18">
      <c r="A18" s="15" t="inlineStr">
        <is>
          <t>OR-2026-014</t>
        </is>
      </c>
      <c r="B18" s="30" t="n">
        <v>46237</v>
      </c>
      <c r="C18" s="14" t="inlineStr">
        <is>
          <t>KONAN Affoué Sylvie</t>
        </is>
      </c>
      <c r="D18" s="14" t="inlineStr">
        <is>
          <t>Yamaha NMAX 155 (AB-7721-CI)</t>
        </is>
      </c>
      <c r="E18" s="14" t="inlineStr">
        <is>
          <t>Courroie variateur + galets + vidange</t>
        </is>
      </c>
      <c r="F18" s="16" t="n">
        <v>29000</v>
      </c>
      <c r="G18" s="16" t="n">
        <v>12000</v>
      </c>
      <c r="H18" s="17">
        <f>F18+G18</f>
        <v/>
      </c>
      <c r="I18" s="16">
        <f>H18*0.18</f>
        <v/>
      </c>
      <c r="J18" s="17">
        <f>H18+I18</f>
        <v/>
      </c>
      <c r="K18" s="15" t="inlineStr">
        <is>
          <t>Virement</t>
        </is>
      </c>
      <c r="L18" s="24" t="inlineStr">
        <is>
          <t>Payé</t>
        </is>
      </c>
      <c r="M18" s="23">
        <f>MONTH(B18)</f>
        <v/>
      </c>
    </row>
    <row r="19">
      <c r="A19" s="11" t="inlineStr">
        <is>
          <t>OR-2026-015</t>
        </is>
      </c>
      <c r="B19" s="29" t="n">
        <v>46254</v>
      </c>
      <c r="C19" s="10" t="inlineStr">
        <is>
          <t>BAKAYOKO Souleymane</t>
        </is>
      </c>
      <c r="D19" s="10" t="inlineStr">
        <is>
          <t>TVS Apache 160 (AB-2144-CI)</t>
        </is>
      </c>
      <c r="E19" s="10" t="inlineStr">
        <is>
          <t>Disque de frein AV + plaquettes neuves</t>
        </is>
      </c>
      <c r="F19" s="12" t="n">
        <v>21000</v>
      </c>
      <c r="G19" s="12" t="n">
        <v>8000</v>
      </c>
      <c r="H19" s="13">
        <f>F19+G19</f>
        <v/>
      </c>
      <c r="I19" s="12">
        <f>H19*0.18</f>
        <v/>
      </c>
      <c r="J19" s="13">
        <f>H19+I19</f>
        <v/>
      </c>
      <c r="K19" s="11" t="inlineStr">
        <is>
          <t>Mobile Money</t>
        </is>
      </c>
      <c r="L19" s="22" t="inlineStr">
        <is>
          <t>Payé</t>
        </is>
      </c>
      <c r="M19" s="21">
        <f>MONTH(B19)</f>
        <v/>
      </c>
    </row>
    <row r="20">
      <c r="A20" s="15" t="inlineStr">
        <is>
          <t>OR-2026-016</t>
        </is>
      </c>
      <c r="B20" s="30" t="n">
        <v>46276</v>
      </c>
      <c r="C20" s="14" t="inlineStr">
        <is>
          <t>SÉKA Gnangoran Guy</t>
        </is>
      </c>
      <c r="D20" s="14" t="inlineStr">
        <is>
          <t>Haojue Lucky 110 (AB-6650-CI)</t>
        </is>
      </c>
      <c r="E20" s="14" t="inlineStr">
        <is>
          <t>Remplacement rayons roue AR + pneu neuf</t>
        </is>
      </c>
      <c r="F20" s="16" t="n">
        <v>25000</v>
      </c>
      <c r="G20" s="16" t="n">
        <v>7500</v>
      </c>
      <c r="H20" s="17">
        <f>F20+G20</f>
        <v/>
      </c>
      <c r="I20" s="16">
        <f>H20*0.18</f>
        <v/>
      </c>
      <c r="J20" s="17">
        <f>H20+I20</f>
        <v/>
      </c>
      <c r="K20" s="15" t="inlineStr">
        <is>
          <t>Espèces</t>
        </is>
      </c>
      <c r="L20" s="24" t="inlineStr">
        <is>
          <t>Payé</t>
        </is>
      </c>
      <c r="M20" s="23">
        <f>MONTH(B20)</f>
        <v/>
      </c>
    </row>
    <row r="21">
      <c r="A21" s="11" t="inlineStr">
        <is>
          <t>OR-2026-017</t>
        </is>
      </c>
      <c r="B21" s="29" t="n">
        <v>46299</v>
      </c>
      <c r="C21" s="10" t="inlineStr">
        <is>
          <t>OUÉDRAOGO Rasmané</t>
        </is>
      </c>
      <c r="D21" s="10" t="inlineStr">
        <is>
          <t>Bajaj Pulsar 180 (AB-5431-CI)</t>
        </is>
      </c>
      <c r="E21" s="10" t="inlineStr">
        <is>
          <t>Vidange 20W50 + Kit chaîne + bougie</t>
        </is>
      </c>
      <c r="F21" s="12" t="n">
        <v>26500</v>
      </c>
      <c r="G21" s="12" t="n">
        <v>7500</v>
      </c>
      <c r="H21" s="13">
        <f>F21+G21</f>
        <v/>
      </c>
      <c r="I21" s="12">
        <f>H21*0.18</f>
        <v/>
      </c>
      <c r="J21" s="13">
        <f>H21+I21</f>
        <v/>
      </c>
      <c r="K21" s="11" t="inlineStr">
        <is>
          <t>Mobile Money</t>
        </is>
      </c>
      <c r="L21" s="22" t="inlineStr">
        <is>
          <t>Payé</t>
        </is>
      </c>
      <c r="M21" s="21">
        <f>MONTH(B21)</f>
        <v/>
      </c>
    </row>
    <row r="22">
      <c r="A22" s="15" t="inlineStr">
        <is>
          <t>OR-2026-018</t>
        </is>
      </c>
      <c r="B22" s="30" t="n">
        <v>46317</v>
      </c>
      <c r="C22" s="14" t="inlineStr">
        <is>
          <t>N'GUESSAN Koffi Éric</t>
        </is>
      </c>
      <c r="D22" s="14" t="inlineStr">
        <is>
          <t>KTM Duke 200 (AB-1189-CI)</t>
        </is>
      </c>
      <c r="E22" s="14" t="inlineStr">
        <is>
          <t>Diagnostic injection + filtre essence + purge</t>
        </is>
      </c>
      <c r="F22" s="16" t="n">
        <v>19000</v>
      </c>
      <c r="G22" s="16" t="n">
        <v>14000</v>
      </c>
      <c r="H22" s="17">
        <f>F22+G22</f>
        <v/>
      </c>
      <c r="I22" s="16">
        <f>H22*0.18</f>
        <v/>
      </c>
      <c r="J22" s="17">
        <f>H22+I22</f>
        <v/>
      </c>
      <c r="K22" s="15" t="inlineStr">
        <is>
          <t>Mobile Money</t>
        </is>
      </c>
      <c r="L22" s="24" t="inlineStr">
        <is>
          <t>En attente</t>
        </is>
      </c>
      <c r="M22" s="23">
        <f>MONTH(B22)</f>
        <v/>
      </c>
    </row>
    <row r="23">
      <c r="A23" s="11" t="inlineStr">
        <is>
          <t>OR-2026-019</t>
        </is>
      </c>
      <c r="B23" s="29" t="n">
        <v>46341</v>
      </c>
      <c r="C23" s="10" t="inlineStr">
        <is>
          <t>AMANI Brou Patrice</t>
        </is>
      </c>
      <c r="D23" s="10" t="inlineStr">
        <is>
          <t>Yamaha DT 125 (AB-8809-CI)</t>
        </is>
      </c>
      <c r="E23" s="10" t="inlineStr">
        <is>
          <t>Remplacement amortisseur AR + spy fourche</t>
        </is>
      </c>
      <c r="F23" s="12" t="n">
        <v>32000</v>
      </c>
      <c r="G23" s="12" t="n">
        <v>16000</v>
      </c>
      <c r="H23" s="13">
        <f>F23+G23</f>
        <v/>
      </c>
      <c r="I23" s="12">
        <f>H23*0.18</f>
        <v/>
      </c>
      <c r="J23" s="13">
        <f>H23+I23</f>
        <v/>
      </c>
      <c r="K23" s="11" t="inlineStr">
        <is>
          <t>Mobile Money</t>
        </is>
      </c>
      <c r="L23" s="22" t="inlineStr">
        <is>
          <t>Payé</t>
        </is>
      </c>
      <c r="M23" s="21">
        <f>MONTH(B23)</f>
        <v/>
      </c>
    </row>
    <row r="24">
      <c r="A24" s="15" t="inlineStr">
        <is>
          <t>OR-2026-020</t>
        </is>
      </c>
      <c r="B24" s="30" t="n">
        <v>46374</v>
      </c>
      <c r="C24" s="14" t="inlineStr">
        <is>
          <t>ZOUZOUA Mireille</t>
        </is>
      </c>
      <c r="D24" s="14" t="inlineStr">
        <is>
          <t>Honda Wave 110i (AB-9923-CI)</t>
        </is>
      </c>
      <c r="E24" s="14" t="inlineStr">
        <is>
          <t>Grande révision annuelle + 2 pneus neufs</t>
        </is>
      </c>
      <c r="F24" s="16" t="n">
        <v>48000</v>
      </c>
      <c r="G24" s="16" t="n">
        <v>15000</v>
      </c>
      <c r="H24" s="17">
        <f>F24+G24</f>
        <v/>
      </c>
      <c r="I24" s="16">
        <f>H24*0.18</f>
        <v/>
      </c>
      <c r="J24" s="17">
        <f>H24+I24</f>
        <v/>
      </c>
      <c r="K24" s="15" t="inlineStr">
        <is>
          <t>Mobile Money</t>
        </is>
      </c>
      <c r="L24" s="24" t="inlineStr">
        <is>
          <t>Payé</t>
        </is>
      </c>
      <c r="M24" s="23">
        <f>MONTH(B24)</f>
        <v/>
      </c>
    </row>
    <row r="25">
      <c r="A25" s="25" t="n"/>
      <c r="B25" s="25" t="n"/>
      <c r="C25" s="25" t="n"/>
      <c r="D25" s="25" t="n"/>
      <c r="E25" s="26" t="inlineStr">
        <is>
          <t>TOTAL GÉNÉRAL</t>
        </is>
      </c>
      <c r="F25" s="20">
        <f>SUM(F5:F24)</f>
        <v/>
      </c>
      <c r="G25" s="20">
        <f>SUM(G5:G24)</f>
        <v/>
      </c>
      <c r="H25" s="20">
        <f>SUM(H5:H24)</f>
        <v/>
      </c>
      <c r="I25" s="20">
        <f>SUM(I5:I24)</f>
        <v/>
      </c>
      <c r="J25" s="28">
        <f>SUM(J5:J24)</f>
        <v/>
      </c>
      <c r="K25" s="25" t="n"/>
      <c r="L25" s="25" t="n"/>
      <c r="M25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2026-10-27T00:29:49Z</dcterms:created>
  <dcterms:modified xsi:type="dcterms:W3CDTF">2026-10-27T00:29:49Z</dcterms:modified>
</cp:coreProperties>
</file>